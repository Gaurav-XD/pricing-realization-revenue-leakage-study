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Pricing Realization &amp; Margin Leakage Study\"/>
    </mc:Choice>
  </mc:AlternateContent>
  <bookViews>
    <workbookView xWindow="0" yWindow="0" windowWidth="23040" windowHeight="8496" activeTab="7"/>
  </bookViews>
  <sheets>
    <sheet name="lawyers" sheetId="1" r:id="rId1"/>
    <sheet name="practice_areas" sheetId="2" r:id="rId2"/>
    <sheet name="clients" sheetId="3" r:id="rId3"/>
    <sheet name="matters" sheetId="4" r:id="rId4"/>
    <sheet name="time_entries" sheetId="5" r:id="rId5"/>
    <sheet name="billing_adjustments" sheetId="6" r:id="rId6"/>
    <sheet name="collections" sheetId="7" r:id="rId7"/>
    <sheet name="analysi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8" l="1"/>
  <c r="K16" i="8"/>
  <c r="K17" i="8"/>
  <c r="K18" i="8"/>
  <c r="K14" i="8"/>
  <c r="J15" i="8"/>
  <c r="J16" i="8"/>
  <c r="J17" i="8"/>
  <c r="J18" i="8"/>
  <c r="I15" i="8"/>
  <c r="I16" i="8"/>
  <c r="I17" i="8"/>
  <c r="I18" i="8"/>
  <c r="J14" i="8"/>
  <c r="I14" i="8"/>
  <c r="H15" i="8"/>
  <c r="H16" i="8"/>
  <c r="H17" i="8"/>
  <c r="H18" i="8"/>
  <c r="G15" i="8"/>
  <c r="G16" i="8"/>
  <c r="G17" i="8"/>
  <c r="G18" i="8"/>
  <c r="H14" i="8"/>
  <c r="G14" i="8"/>
  <c r="F15" i="8"/>
  <c r="F16" i="8"/>
  <c r="F17" i="8"/>
  <c r="F18" i="8"/>
  <c r="F14" i="8"/>
  <c r="E15" i="8"/>
  <c r="E16" i="8"/>
  <c r="E17" i="8"/>
  <c r="E18" i="8"/>
  <c r="E14" i="8"/>
  <c r="E3" i="7"/>
  <c r="E4" i="7"/>
  <c r="E5" i="7"/>
  <c r="E6" i="7"/>
  <c r="E7" i="7"/>
  <c r="E2" i="7"/>
  <c r="D15" i="8"/>
  <c r="D16" i="8"/>
  <c r="D17" i="8"/>
  <c r="D18" i="8"/>
  <c r="D14" i="8"/>
  <c r="E3" i="6"/>
  <c r="E4" i="6"/>
  <c r="E5" i="6"/>
  <c r="E6" i="6"/>
  <c r="E2" i="6"/>
  <c r="C15" i="8"/>
  <c r="C16" i="8"/>
  <c r="C17" i="8"/>
  <c r="C18" i="8"/>
  <c r="C14" i="8"/>
  <c r="G3" i="5"/>
  <c r="G4" i="5"/>
  <c r="G5" i="5"/>
  <c r="G6" i="5"/>
  <c r="G7" i="5"/>
  <c r="G8" i="5"/>
  <c r="G9" i="5"/>
  <c r="G2" i="5"/>
  <c r="B10" i="8"/>
  <c r="B9" i="8"/>
  <c r="B8" i="8"/>
  <c r="B7" i="8"/>
  <c r="B6" i="8"/>
  <c r="B5" i="8"/>
  <c r="B4" i="8"/>
  <c r="B3" i="8"/>
  <c r="B2" i="8"/>
  <c r="F3" i="5"/>
  <c r="F4" i="5"/>
  <c r="F5" i="5"/>
  <c r="F6" i="5"/>
  <c r="F7" i="5"/>
  <c r="F8" i="5"/>
  <c r="F9" i="5"/>
  <c r="F2" i="5"/>
</calcChain>
</file>

<file path=xl/sharedStrings.xml><?xml version="1.0" encoding="utf-8"?>
<sst xmlns="http://schemas.openxmlformats.org/spreadsheetml/2006/main" count="108" uniqueCount="82">
  <si>
    <t>practice_area_id</t>
  </si>
  <si>
    <t>practice_name</t>
  </si>
  <si>
    <t>Litigation</t>
  </si>
  <si>
    <t>Corporate</t>
  </si>
  <si>
    <t>Tax</t>
  </si>
  <si>
    <t>Intellectual Property</t>
  </si>
  <si>
    <t>lawyer_id</t>
  </si>
  <si>
    <t>lawyer_name</t>
  </si>
  <si>
    <t>level</t>
  </si>
  <si>
    <t>standard_hourly_rate</t>
  </si>
  <si>
    <t>cost_per_hour</t>
  </si>
  <si>
    <t>Raj Partner</t>
  </si>
  <si>
    <t>Partner</t>
  </si>
  <si>
    <t>Anita Partner</t>
  </si>
  <si>
    <t>Vivek Senior</t>
  </si>
  <si>
    <t>Senior</t>
  </si>
  <si>
    <t>Meera Senior</t>
  </si>
  <si>
    <t>Arjun Junior</t>
  </si>
  <si>
    <t>Junior</t>
  </si>
  <si>
    <t>Neha Junior</t>
  </si>
  <si>
    <t>client_id</t>
  </si>
  <si>
    <t>client_name</t>
  </si>
  <si>
    <t>client_type</t>
  </si>
  <si>
    <t>ABC Industries</t>
  </si>
  <si>
    <t>Zenith Holdings</t>
  </si>
  <si>
    <t>Sharma Enterprises</t>
  </si>
  <si>
    <t>SME</t>
  </si>
  <si>
    <t>Global Retail Ltd</t>
  </si>
  <si>
    <t>Ramesh Kumar</t>
  </si>
  <si>
    <t>Individual</t>
  </si>
  <si>
    <t>matter_id</t>
  </si>
  <si>
    <t>matter_name</t>
  </si>
  <si>
    <t>start_date</t>
  </si>
  <si>
    <t>ABC Litigation Case</t>
  </si>
  <si>
    <t>ABC Tax Advisory</t>
  </si>
  <si>
    <t>15-02-2024</t>
  </si>
  <si>
    <t>Zenith M&amp;A Deal</t>
  </si>
  <si>
    <t>Sharma Dispute</t>
  </si>
  <si>
    <t>Global IP Filing</t>
  </si>
  <si>
    <t>20-05-2024</t>
  </si>
  <si>
    <t>Ramesh Tax Notice</t>
  </si>
  <si>
    <t>time_entry_id</t>
  </si>
  <si>
    <t>work_date</t>
  </si>
  <si>
    <t>hours_worked</t>
  </si>
  <si>
    <t>billed_amount</t>
  </si>
  <si>
    <t>18-02-2024</t>
  </si>
  <si>
    <t>13-03-2024</t>
  </si>
  <si>
    <t>22-05-2024</t>
  </si>
  <si>
    <t>adjustment_id</t>
  </si>
  <si>
    <t>adjustment_type</t>
  </si>
  <si>
    <t>adjustment_amount</t>
  </si>
  <si>
    <t>Write-off</t>
  </si>
  <si>
    <t>Write-up</t>
  </si>
  <si>
    <t>collection_id</t>
  </si>
  <si>
    <t>amount_collected</t>
  </si>
  <si>
    <t>collection_date</t>
  </si>
  <si>
    <t>15-01-2024</t>
  </si>
  <si>
    <t>28-02-2024</t>
  </si>
  <si>
    <t>30-03-2024</t>
  </si>
  <si>
    <t>20-04-2024</t>
  </si>
  <si>
    <t>15-06-2024</t>
  </si>
  <si>
    <t>KPI</t>
  </si>
  <si>
    <t>Value</t>
  </si>
  <si>
    <t>Total Billed Revenue</t>
  </si>
  <si>
    <t>Total Adjustments</t>
  </si>
  <si>
    <t>Adjusted Revenue</t>
  </si>
  <si>
    <t>Total Collected Revenue</t>
  </si>
  <si>
    <t>Billing Realization %</t>
  </si>
  <si>
    <t>Collection Realization %</t>
  </si>
  <si>
    <t>Overall Realization %</t>
  </si>
  <si>
    <t>Revenue Lost Due to Adjustments</t>
  </si>
  <si>
    <t>Revenue Not Collected</t>
  </si>
  <si>
    <t>Client</t>
  </si>
  <si>
    <t>Billed Revenue</t>
  </si>
  <si>
    <t>Collected Revenue</t>
  </si>
  <si>
    <t>Client_ID</t>
  </si>
  <si>
    <t>Discount Loss</t>
  </si>
  <si>
    <t>Collection Loss</t>
  </si>
  <si>
    <t>Discount %</t>
  </si>
  <si>
    <t>Collection Gap %</t>
  </si>
  <si>
    <t>Risk Level</t>
  </si>
  <si>
    <t>Target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</si>
</sst>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4" fontId="0" fillId="4" borderId="1" xfId="0" applyNumberForma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center" wrapText="1"/>
    </xf>
    <xf numFmtId="0" fontId="0" fillId="4" borderId="1" xfId="0" applyNumberForma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Client-Level Overall Realization %</a:t>
            </a:r>
            <a:endParaRPr lang="en-US"/>
          </a:p>
        </c:rich>
      </c:tx>
      <c:layout>
        <c:manualLayout>
          <c:xMode val="edge"/>
          <c:yMode val="edge"/>
          <c:x val="0.28441026439491673"/>
          <c:y val="4.8409405255878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05883639545056"/>
          <c:y val="0.15042833187518226"/>
          <c:w val="0.84068285214348204"/>
          <c:h val="0.6700309857101195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analysis!$A$14:$A$18</c:f>
              <c:strCache>
                <c:ptCount val="5"/>
                <c:pt idx="0">
                  <c:v>ABC Industries</c:v>
                </c:pt>
                <c:pt idx="1">
                  <c:v>Zenith Holdings</c:v>
                </c:pt>
                <c:pt idx="2">
                  <c:v>Sharma Enterprises</c:v>
                </c:pt>
                <c:pt idx="3">
                  <c:v>Global Retail Ltd</c:v>
                </c:pt>
                <c:pt idx="4">
                  <c:v>Ramesh Kumar</c:v>
                </c:pt>
              </c:strCache>
            </c:strRef>
          </c:cat>
          <c:val>
            <c:numRef>
              <c:f>analysis!$F$14:$F$18</c:f>
              <c:numCache>
                <c:formatCode>0.00%</c:formatCode>
                <c:ptCount val="5"/>
                <c:pt idx="0">
                  <c:v>0.47169811320754718</c:v>
                </c:pt>
                <c:pt idx="1">
                  <c:v>0.5494505494505495</c:v>
                </c:pt>
                <c:pt idx="2">
                  <c:v>0.875</c:v>
                </c:pt>
                <c:pt idx="3">
                  <c:v>0.60606060606060608</c:v>
                </c:pt>
                <c:pt idx="4">
                  <c:v>0.52631578947368418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9-4E37-9693-89110BFD0DB1}"/>
            </c:ext>
          </c:extLst>
        </c:ser>
        <c:ser>
          <c:idx val="1"/>
          <c:order val="1"/>
          <c:tx>
            <c:strRef>
              <c:f>analysis!$L$13</c:f>
              <c:strCache>
                <c:ptCount val="1"/>
                <c:pt idx="0">
                  <c:v>Target Realization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analysis!$L$14:$L$18</c:f>
              <c:numCache>
                <c:formatCode>0.00%</c:formatCode>
                <c:ptCount val="5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9-4E37-9693-89110BFD0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476447"/>
        <c:axId val="1887472703"/>
      </c:lineChart>
      <c:catAx>
        <c:axId val="188747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72703"/>
        <c:crosses val="autoZero"/>
        <c:auto val="1"/>
        <c:lblAlgn val="ctr"/>
        <c:lblOffset val="100"/>
        <c:noMultiLvlLbl val="0"/>
      </c:catAx>
      <c:valAx>
        <c:axId val="188747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7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121920</xdr:rowOff>
    </xdr:from>
    <xdr:to>
      <xdr:col>9</xdr:col>
      <xdr:colOff>716280</xdr:colOff>
      <xdr:row>11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18" sqref="C18"/>
    </sheetView>
  </sheetViews>
  <sheetFormatPr defaultColWidth="23.33203125" defaultRowHeight="14.4"/>
  <sheetData>
    <row r="1" spans="1:6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0</v>
      </c>
    </row>
    <row r="2" spans="1:6">
      <c r="A2" s="8">
        <v>1</v>
      </c>
      <c r="B2" s="8" t="s">
        <v>11</v>
      </c>
      <c r="C2" s="8" t="s">
        <v>12</v>
      </c>
      <c r="D2" s="8">
        <v>15000</v>
      </c>
      <c r="E2" s="8">
        <v>8000</v>
      </c>
      <c r="F2" s="8">
        <v>1</v>
      </c>
    </row>
    <row r="3" spans="1:6">
      <c r="A3" s="8">
        <v>2</v>
      </c>
      <c r="B3" s="8" t="s">
        <v>13</v>
      </c>
      <c r="C3" s="8" t="s">
        <v>12</v>
      </c>
      <c r="D3" s="8">
        <v>14000</v>
      </c>
      <c r="E3" s="8">
        <v>7500</v>
      </c>
      <c r="F3" s="8">
        <v>2</v>
      </c>
    </row>
    <row r="4" spans="1:6">
      <c r="A4" s="8">
        <v>3</v>
      </c>
      <c r="B4" s="8" t="s">
        <v>14</v>
      </c>
      <c r="C4" s="8" t="s">
        <v>15</v>
      </c>
      <c r="D4" s="8">
        <v>10000</v>
      </c>
      <c r="E4" s="8">
        <v>5000</v>
      </c>
      <c r="F4" s="8">
        <v>1</v>
      </c>
    </row>
    <row r="5" spans="1:6">
      <c r="A5" s="8">
        <v>4</v>
      </c>
      <c r="B5" s="8" t="s">
        <v>16</v>
      </c>
      <c r="C5" s="8" t="s">
        <v>15</v>
      </c>
      <c r="D5" s="8">
        <v>9500</v>
      </c>
      <c r="E5" s="8">
        <v>4800</v>
      </c>
      <c r="F5" s="8">
        <v>3</v>
      </c>
    </row>
    <row r="6" spans="1:6">
      <c r="A6" s="8">
        <v>5</v>
      </c>
      <c r="B6" s="8" t="s">
        <v>17</v>
      </c>
      <c r="C6" s="8" t="s">
        <v>18</v>
      </c>
      <c r="D6" s="8">
        <v>6000</v>
      </c>
      <c r="E6" s="8">
        <v>3000</v>
      </c>
      <c r="F6" s="8">
        <v>2</v>
      </c>
    </row>
    <row r="7" spans="1:6">
      <c r="A7" s="8">
        <v>6</v>
      </c>
      <c r="B7" s="8" t="s">
        <v>19</v>
      </c>
      <c r="C7" s="8" t="s">
        <v>18</v>
      </c>
      <c r="D7" s="8">
        <v>5500</v>
      </c>
      <c r="E7" s="8">
        <v>2800</v>
      </c>
      <c r="F7" s="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ColWidth="17.88671875" defaultRowHeight="14.4"/>
  <sheetData>
    <row r="1" spans="1:2">
      <c r="A1" s="7" t="s">
        <v>0</v>
      </c>
      <c r="B1" s="7" t="s">
        <v>1</v>
      </c>
    </row>
    <row r="2" spans="1:2">
      <c r="A2" s="8">
        <v>1</v>
      </c>
      <c r="B2" s="8" t="s">
        <v>2</v>
      </c>
    </row>
    <row r="3" spans="1:2">
      <c r="A3" s="8">
        <v>2</v>
      </c>
      <c r="B3" s="8" t="s">
        <v>3</v>
      </c>
    </row>
    <row r="4" spans="1:2">
      <c r="A4" s="8">
        <v>3</v>
      </c>
      <c r="B4" s="8" t="s">
        <v>4</v>
      </c>
    </row>
    <row r="5" spans="1:2">
      <c r="A5" s="8">
        <v>4</v>
      </c>
      <c r="B5" s="8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4" sqref="B14"/>
    </sheetView>
  </sheetViews>
  <sheetFormatPr defaultColWidth="18" defaultRowHeight="14.4"/>
  <sheetData>
    <row r="1" spans="1:3">
      <c r="A1" s="7" t="s">
        <v>20</v>
      </c>
      <c r="B1" s="7" t="s">
        <v>21</v>
      </c>
      <c r="C1" s="7" t="s">
        <v>22</v>
      </c>
    </row>
    <row r="2" spans="1:3">
      <c r="A2" s="8">
        <v>1</v>
      </c>
      <c r="B2" s="8" t="s">
        <v>23</v>
      </c>
      <c r="C2" s="8" t="s">
        <v>3</v>
      </c>
    </row>
    <row r="3" spans="1:3">
      <c r="A3" s="8">
        <v>2</v>
      </c>
      <c r="B3" s="8" t="s">
        <v>24</v>
      </c>
      <c r="C3" s="8" t="s">
        <v>3</v>
      </c>
    </row>
    <row r="4" spans="1:3">
      <c r="A4" s="8">
        <v>3</v>
      </c>
      <c r="B4" s="8" t="s">
        <v>25</v>
      </c>
      <c r="C4" s="8" t="s">
        <v>26</v>
      </c>
    </row>
    <row r="5" spans="1:3">
      <c r="A5" s="8">
        <v>4</v>
      </c>
      <c r="B5" s="8" t="s">
        <v>27</v>
      </c>
      <c r="C5" s="8" t="s">
        <v>3</v>
      </c>
    </row>
    <row r="6" spans="1:3">
      <c r="A6" s="8">
        <v>5</v>
      </c>
      <c r="B6" s="8" t="s">
        <v>28</v>
      </c>
      <c r="C6" s="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2" sqref="C12"/>
    </sheetView>
  </sheetViews>
  <sheetFormatPr defaultColWidth="17.77734375" defaultRowHeight="14.4"/>
  <cols>
    <col min="5" max="5" width="22.5546875" style="1" bestFit="1" customWidth="1"/>
  </cols>
  <sheetData>
    <row r="1" spans="1:5">
      <c r="A1" s="7" t="s">
        <v>30</v>
      </c>
      <c r="B1" s="7" t="s">
        <v>20</v>
      </c>
      <c r="C1" s="7" t="s">
        <v>0</v>
      </c>
      <c r="D1" s="7" t="s">
        <v>31</v>
      </c>
      <c r="E1" s="15" t="s">
        <v>32</v>
      </c>
    </row>
    <row r="2" spans="1:5">
      <c r="A2" s="8">
        <v>1</v>
      </c>
      <c r="B2" s="8">
        <v>1</v>
      </c>
      <c r="C2" s="8">
        <v>1</v>
      </c>
      <c r="D2" s="8" t="s">
        <v>33</v>
      </c>
      <c r="E2" s="13">
        <v>45292</v>
      </c>
    </row>
    <row r="3" spans="1:5">
      <c r="A3" s="8">
        <v>2</v>
      </c>
      <c r="B3" s="8">
        <v>1</v>
      </c>
      <c r="C3" s="8">
        <v>3</v>
      </c>
      <c r="D3" s="8" t="s">
        <v>34</v>
      </c>
      <c r="E3" s="14" t="s">
        <v>35</v>
      </c>
    </row>
    <row r="4" spans="1:5">
      <c r="A4" s="8">
        <v>3</v>
      </c>
      <c r="B4" s="8">
        <v>2</v>
      </c>
      <c r="C4" s="8">
        <v>2</v>
      </c>
      <c r="D4" s="8" t="s">
        <v>36</v>
      </c>
      <c r="E4" s="13">
        <v>45568</v>
      </c>
    </row>
    <row r="5" spans="1:5">
      <c r="A5" s="8">
        <v>4</v>
      </c>
      <c r="B5" s="8">
        <v>3</v>
      </c>
      <c r="C5" s="8">
        <v>1</v>
      </c>
      <c r="D5" s="8" t="s">
        <v>37</v>
      </c>
      <c r="E5" s="13">
        <v>45416</v>
      </c>
    </row>
    <row r="6" spans="1:5">
      <c r="A6" s="8">
        <v>5</v>
      </c>
      <c r="B6" s="8">
        <v>4</v>
      </c>
      <c r="C6" s="8">
        <v>4</v>
      </c>
      <c r="D6" s="8" t="s">
        <v>38</v>
      </c>
      <c r="E6" s="14" t="s">
        <v>39</v>
      </c>
    </row>
    <row r="7" spans="1:5">
      <c r="A7" s="8">
        <v>6</v>
      </c>
      <c r="B7" s="8">
        <v>5</v>
      </c>
      <c r="C7" s="8">
        <v>3</v>
      </c>
      <c r="D7" s="8" t="s">
        <v>40</v>
      </c>
      <c r="E7" s="13">
        <v>45297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18" sqref="D18"/>
    </sheetView>
  </sheetViews>
  <sheetFormatPr defaultColWidth="16.109375" defaultRowHeight="14.4"/>
  <cols>
    <col min="4" max="4" width="16.109375" style="2"/>
  </cols>
  <sheetData>
    <row r="1" spans="1:7">
      <c r="A1" s="7" t="s">
        <v>41</v>
      </c>
      <c r="B1" s="7" t="s">
        <v>30</v>
      </c>
      <c r="C1" s="7" t="s">
        <v>6</v>
      </c>
      <c r="D1" s="11" t="s">
        <v>42</v>
      </c>
      <c r="E1" s="7" t="s">
        <v>43</v>
      </c>
      <c r="F1" s="7" t="s">
        <v>44</v>
      </c>
      <c r="G1" s="7" t="s">
        <v>20</v>
      </c>
    </row>
    <row r="2" spans="1:7">
      <c r="A2" s="8">
        <v>1</v>
      </c>
      <c r="B2" s="8">
        <v>1</v>
      </c>
      <c r="C2" s="8">
        <v>1</v>
      </c>
      <c r="D2" s="10">
        <v>45413</v>
      </c>
      <c r="E2" s="8">
        <v>5</v>
      </c>
      <c r="F2" s="8">
        <f>E2 * VLOOKUP(C2, lawyers!A:F, 4, FALSE)</f>
        <v>75000</v>
      </c>
      <c r="G2" s="9">
        <f>VLOOKUP(B2, matters!A:B, 2, FALSE)</f>
        <v>1</v>
      </c>
    </row>
    <row r="3" spans="1:7">
      <c r="A3" s="8">
        <v>2</v>
      </c>
      <c r="B3" s="8">
        <v>1</v>
      </c>
      <c r="C3" s="8">
        <v>3</v>
      </c>
      <c r="D3" s="10">
        <v>45444</v>
      </c>
      <c r="E3" s="8">
        <v>8</v>
      </c>
      <c r="F3" s="8">
        <f>E3 * VLOOKUP(C3, lawyers!A:F, 4, FALSE)</f>
        <v>80000</v>
      </c>
      <c r="G3" s="9">
        <f>VLOOKUP(B3, matters!A:B, 2, FALSE)</f>
        <v>1</v>
      </c>
    </row>
    <row r="4" spans="1:7">
      <c r="A4" s="8">
        <v>3</v>
      </c>
      <c r="B4" s="8">
        <v>2</v>
      </c>
      <c r="C4" s="8">
        <v>4</v>
      </c>
      <c r="D4" s="12" t="s">
        <v>45</v>
      </c>
      <c r="E4" s="8">
        <v>6</v>
      </c>
      <c r="F4" s="8">
        <f>E4 * VLOOKUP(C4, lawyers!A:F, 4, FALSE)</f>
        <v>57000</v>
      </c>
      <c r="G4" s="9">
        <f>VLOOKUP(B4, matters!A:B, 2, FALSE)</f>
        <v>1</v>
      </c>
    </row>
    <row r="5" spans="1:7">
      <c r="A5" s="8">
        <v>4</v>
      </c>
      <c r="B5" s="8">
        <v>3</v>
      </c>
      <c r="C5" s="8">
        <v>2</v>
      </c>
      <c r="D5" s="10">
        <v>45629</v>
      </c>
      <c r="E5" s="8">
        <v>10</v>
      </c>
      <c r="F5" s="8">
        <f>E5 * VLOOKUP(C5, lawyers!A:F, 4, FALSE)</f>
        <v>140000</v>
      </c>
      <c r="G5" s="9">
        <f>VLOOKUP(B5, matters!A:B, 2, FALSE)</f>
        <v>2</v>
      </c>
    </row>
    <row r="6" spans="1:7">
      <c r="A6" s="8">
        <v>5</v>
      </c>
      <c r="B6" s="8">
        <v>3</v>
      </c>
      <c r="C6" s="8">
        <v>5</v>
      </c>
      <c r="D6" s="12" t="s">
        <v>46</v>
      </c>
      <c r="E6" s="8">
        <v>7</v>
      </c>
      <c r="F6" s="8">
        <f>E6 * VLOOKUP(C6, lawyers!A:F, 4, FALSE)</f>
        <v>42000</v>
      </c>
      <c r="G6" s="9">
        <f>VLOOKUP(B6, matters!A:B, 2, FALSE)</f>
        <v>2</v>
      </c>
    </row>
    <row r="7" spans="1:7">
      <c r="A7" s="8">
        <v>6</v>
      </c>
      <c r="B7" s="8">
        <v>4</v>
      </c>
      <c r="C7" s="8">
        <v>3</v>
      </c>
      <c r="D7" s="10">
        <v>45477</v>
      </c>
      <c r="E7" s="8">
        <v>4</v>
      </c>
      <c r="F7" s="8">
        <f>E7 * VLOOKUP(C7, lawyers!A:F, 4, FALSE)</f>
        <v>40000</v>
      </c>
      <c r="G7" s="9">
        <f>VLOOKUP(B7, matters!A:B, 2, FALSE)</f>
        <v>3</v>
      </c>
    </row>
    <row r="8" spans="1:7">
      <c r="A8" s="8">
        <v>7</v>
      </c>
      <c r="B8" s="8">
        <v>5</v>
      </c>
      <c r="C8" s="8">
        <v>6</v>
      </c>
      <c r="D8" s="12" t="s">
        <v>47</v>
      </c>
      <c r="E8" s="8">
        <v>9</v>
      </c>
      <c r="F8" s="8">
        <f>E8 * VLOOKUP(C8, lawyers!A:F, 4, FALSE)</f>
        <v>49500</v>
      </c>
      <c r="G8" s="9">
        <f>VLOOKUP(B8, matters!A:B, 2, FALSE)</f>
        <v>4</v>
      </c>
    </row>
    <row r="9" spans="1:7">
      <c r="A9" s="8">
        <v>8</v>
      </c>
      <c r="B9" s="8">
        <v>6</v>
      </c>
      <c r="C9" s="8">
        <v>4</v>
      </c>
      <c r="D9" s="10">
        <v>45328</v>
      </c>
      <c r="E9" s="8">
        <v>3</v>
      </c>
      <c r="F9" s="8">
        <f>E9 * VLOOKUP(C9, lawyers!A:F, 4, FALSE)</f>
        <v>28500</v>
      </c>
      <c r="G9" s="9">
        <f>VLOOKUP(B9, matters!A:B, 2, FALSE)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4" sqref="C14"/>
    </sheetView>
  </sheetViews>
  <sheetFormatPr defaultColWidth="18.6640625" defaultRowHeight="14.4"/>
  <sheetData>
    <row r="1" spans="1:5">
      <c r="A1" s="7" t="s">
        <v>48</v>
      </c>
      <c r="B1" s="7" t="s">
        <v>30</v>
      </c>
      <c r="C1" s="7" t="s">
        <v>49</v>
      </c>
      <c r="D1" s="7" t="s">
        <v>50</v>
      </c>
      <c r="E1" s="3" t="s">
        <v>20</v>
      </c>
    </row>
    <row r="2" spans="1:5">
      <c r="A2" s="8">
        <v>1</v>
      </c>
      <c r="B2" s="8">
        <v>1</v>
      </c>
      <c r="C2" s="8" t="s">
        <v>51</v>
      </c>
      <c r="D2" s="8">
        <v>-20000</v>
      </c>
      <c r="E2" s="9">
        <f>VLOOKUP(B2, matters!A:B, 2, FALSE)</f>
        <v>1</v>
      </c>
    </row>
    <row r="3" spans="1:5">
      <c r="A3" s="8">
        <v>2</v>
      </c>
      <c r="B3" s="8">
        <v>2</v>
      </c>
      <c r="C3" s="8" t="s">
        <v>51</v>
      </c>
      <c r="D3" s="8">
        <v>-10000</v>
      </c>
      <c r="E3" s="9">
        <f>VLOOKUP(B3, matters!A:B, 2, FALSE)</f>
        <v>1</v>
      </c>
    </row>
    <row r="4" spans="1:5">
      <c r="A4" s="8">
        <v>3</v>
      </c>
      <c r="B4" s="8">
        <v>3</v>
      </c>
      <c r="C4" s="8" t="s">
        <v>51</v>
      </c>
      <c r="D4" s="8">
        <v>-30000</v>
      </c>
      <c r="E4" s="9">
        <f>VLOOKUP(B4, matters!A:B, 2, FALSE)</f>
        <v>2</v>
      </c>
    </row>
    <row r="5" spans="1:5">
      <c r="A5" s="8">
        <v>4</v>
      </c>
      <c r="B5" s="8">
        <v>4</v>
      </c>
      <c r="C5" s="8" t="s">
        <v>52</v>
      </c>
      <c r="D5" s="8">
        <v>5000</v>
      </c>
      <c r="E5" s="9">
        <f>VLOOKUP(B5, matters!A:B, 2, FALSE)</f>
        <v>3</v>
      </c>
    </row>
    <row r="6" spans="1:5">
      <c r="A6" s="8">
        <v>5</v>
      </c>
      <c r="B6" s="8">
        <v>5</v>
      </c>
      <c r="C6" s="8" t="s">
        <v>51</v>
      </c>
      <c r="D6" s="8">
        <v>-15000</v>
      </c>
      <c r="E6" s="9">
        <f>VLOOKUP(B6, matters!A:B, 2, FALSE)</f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5" sqref="C15"/>
    </sheetView>
  </sheetViews>
  <sheetFormatPr defaultColWidth="16.33203125" defaultRowHeight="14.4"/>
  <sheetData>
    <row r="1" spans="1:5">
      <c r="A1" s="7" t="s">
        <v>53</v>
      </c>
      <c r="B1" s="7" t="s">
        <v>30</v>
      </c>
      <c r="C1" s="7" t="s">
        <v>54</v>
      </c>
      <c r="D1" s="7" t="s">
        <v>55</v>
      </c>
      <c r="E1" s="3" t="s">
        <v>20</v>
      </c>
    </row>
    <row r="2" spans="1:5">
      <c r="A2" s="8">
        <v>1</v>
      </c>
      <c r="B2" s="8">
        <v>1</v>
      </c>
      <c r="C2" s="8">
        <v>55000</v>
      </c>
      <c r="D2" s="8" t="s">
        <v>56</v>
      </c>
      <c r="E2" s="9">
        <f>VLOOKUP(B2, matters!A:B, 2, FALSE)</f>
        <v>1</v>
      </c>
    </row>
    <row r="3" spans="1:5">
      <c r="A3" s="8">
        <v>2</v>
      </c>
      <c r="B3" s="8">
        <v>2</v>
      </c>
      <c r="C3" s="8">
        <v>45000</v>
      </c>
      <c r="D3" s="8" t="s">
        <v>57</v>
      </c>
      <c r="E3" s="9">
        <f>VLOOKUP(B3, matters!A:B, 2, FALSE)</f>
        <v>1</v>
      </c>
    </row>
    <row r="4" spans="1:5">
      <c r="A4" s="8">
        <v>3</v>
      </c>
      <c r="B4" s="8">
        <v>3</v>
      </c>
      <c r="C4" s="8">
        <v>100000</v>
      </c>
      <c r="D4" s="8" t="s">
        <v>58</v>
      </c>
      <c r="E4" s="9">
        <f>VLOOKUP(B4, matters!A:B, 2, FALSE)</f>
        <v>2</v>
      </c>
    </row>
    <row r="5" spans="1:5">
      <c r="A5" s="8">
        <v>4</v>
      </c>
      <c r="B5" s="8">
        <v>4</v>
      </c>
      <c r="C5" s="8">
        <v>35000</v>
      </c>
      <c r="D5" s="8" t="s">
        <v>59</v>
      </c>
      <c r="E5" s="9">
        <f>VLOOKUP(B5, matters!A:B, 2, FALSE)</f>
        <v>3</v>
      </c>
    </row>
    <row r="6" spans="1:5">
      <c r="A6" s="8">
        <v>5</v>
      </c>
      <c r="B6" s="8">
        <v>5</v>
      </c>
      <c r="C6" s="8">
        <v>30000</v>
      </c>
      <c r="D6" s="10">
        <v>45418</v>
      </c>
      <c r="E6" s="9">
        <f>VLOOKUP(B6, matters!A:B, 2, FALSE)</f>
        <v>4</v>
      </c>
    </row>
    <row r="7" spans="1:5">
      <c r="A7" s="8">
        <v>6</v>
      </c>
      <c r="B7" s="8">
        <v>6</v>
      </c>
      <c r="C7" s="8">
        <v>15000</v>
      </c>
      <c r="D7" s="8" t="s">
        <v>60</v>
      </c>
      <c r="E7" s="9">
        <f>VLOOKUP(B7, matters!A:B, 2, FALSE)</f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topLeftCell="B1" workbookViewId="0">
      <selection activeCell="G23" sqref="G23"/>
    </sheetView>
  </sheetViews>
  <sheetFormatPr defaultColWidth="18" defaultRowHeight="14.4"/>
  <cols>
    <col min="1" max="1" width="28.6640625" bestFit="1" customWidth="1"/>
    <col min="2" max="2" width="12.88671875" bestFit="1" customWidth="1"/>
    <col min="3" max="3" width="15.5546875" bestFit="1" customWidth="1"/>
    <col min="4" max="4" width="16.21875" bestFit="1" customWidth="1"/>
    <col min="5" max="5" width="18.33203125" bestFit="1" customWidth="1"/>
  </cols>
  <sheetData>
    <row r="1" spans="1:12">
      <c r="A1" s="3" t="s">
        <v>61</v>
      </c>
      <c r="B1" s="3" t="s">
        <v>62</v>
      </c>
    </row>
    <row r="2" spans="1:12">
      <c r="A2" s="4" t="s">
        <v>63</v>
      </c>
      <c r="B2" s="4">
        <f>SUM(time_entries!F:F)</f>
        <v>512000</v>
      </c>
    </row>
    <row r="3" spans="1:12">
      <c r="A3" s="4" t="s">
        <v>64</v>
      </c>
      <c r="B3" s="4">
        <f>SUM(billing_adjustments!D:D)</f>
        <v>-70000</v>
      </c>
    </row>
    <row r="4" spans="1:12">
      <c r="A4" s="4" t="s">
        <v>65</v>
      </c>
      <c r="B4" s="4">
        <f>B2 + B3</f>
        <v>442000</v>
      </c>
    </row>
    <row r="5" spans="1:12">
      <c r="A5" s="4" t="s">
        <v>66</v>
      </c>
      <c r="B5" s="5">
        <f>SUM(collections!C:C)</f>
        <v>280000</v>
      </c>
    </row>
    <row r="6" spans="1:12">
      <c r="A6" s="4" t="s">
        <v>67</v>
      </c>
      <c r="B6" s="4">
        <f>B4 / B2</f>
        <v>0.86328125</v>
      </c>
    </row>
    <row r="7" spans="1:12">
      <c r="A7" s="4" t="s">
        <v>68</v>
      </c>
      <c r="B7" s="4">
        <f>B5 / B4</f>
        <v>0.63348416289592757</v>
      </c>
    </row>
    <row r="8" spans="1:12">
      <c r="A8" s="4" t="s">
        <v>69</v>
      </c>
      <c r="B8" s="4">
        <f>B5 / B2</f>
        <v>0.546875</v>
      </c>
    </row>
    <row r="9" spans="1:12">
      <c r="A9" s="4" t="s">
        <v>70</v>
      </c>
      <c r="B9" s="5">
        <f>ABS(B3)</f>
        <v>70000</v>
      </c>
    </row>
    <row r="10" spans="1:12">
      <c r="A10" s="4" t="s">
        <v>71</v>
      </c>
      <c r="B10" s="4">
        <f>B4 - B5</f>
        <v>162000</v>
      </c>
    </row>
    <row r="13" spans="1:12">
      <c r="A13" s="3" t="s">
        <v>72</v>
      </c>
      <c r="B13" s="3" t="s">
        <v>75</v>
      </c>
      <c r="C13" s="3" t="s">
        <v>73</v>
      </c>
      <c r="D13" s="3" t="s">
        <v>65</v>
      </c>
      <c r="E13" s="3" t="s">
        <v>74</v>
      </c>
      <c r="F13" s="3" t="s">
        <v>69</v>
      </c>
      <c r="G13" s="3" t="s">
        <v>76</v>
      </c>
      <c r="H13" s="3" t="s">
        <v>77</v>
      </c>
      <c r="I13" s="3" t="s">
        <v>78</v>
      </c>
      <c r="J13" s="3" t="s">
        <v>79</v>
      </c>
      <c r="K13" s="3" t="s">
        <v>80</v>
      </c>
      <c r="L13" s="3" t="s">
        <v>81</v>
      </c>
    </row>
    <row r="14" spans="1:12">
      <c r="A14" s="4" t="s">
        <v>23</v>
      </c>
      <c r="B14" s="5">
        <v>1</v>
      </c>
      <c r="C14" s="5">
        <f>SUMIF(time_entries!G:G, B14, time_entries!F:F)</f>
        <v>212000</v>
      </c>
      <c r="D14" s="5">
        <f>C14 + SUMIF(billing_adjustments!E:E, B14, billing_adjustments!D:D)</f>
        <v>182000</v>
      </c>
      <c r="E14" s="5">
        <f>SUMIF(collections!E:E, B14, collections!C:C)</f>
        <v>100000</v>
      </c>
      <c r="F14" s="6">
        <f>E14 / C14</f>
        <v>0.47169811320754718</v>
      </c>
      <c r="G14" s="4">
        <f>C14 - D14</f>
        <v>30000</v>
      </c>
      <c r="H14" s="5">
        <f>D14 - E14</f>
        <v>82000</v>
      </c>
      <c r="I14" s="6">
        <f>(C14 - D14) / C14</f>
        <v>0.14150943396226415</v>
      </c>
      <c r="J14" s="6">
        <f>(D14 - E14) / D14</f>
        <v>0.45054945054945056</v>
      </c>
      <c r="K14" s="4" t="str">
        <f>IF(F14&gt;=0.85,"Healthy",
   IF(F14&gt;=0.7,"Moderate Risk","High Risk"))</f>
        <v>High Risk</v>
      </c>
      <c r="L14" s="16">
        <v>0.85</v>
      </c>
    </row>
    <row r="15" spans="1:12">
      <c r="A15" s="4" t="s">
        <v>24</v>
      </c>
      <c r="B15" s="5">
        <v>2</v>
      </c>
      <c r="C15" s="5">
        <f>SUMIF(time_entries!G:G, B15, time_entries!F:F)</f>
        <v>182000</v>
      </c>
      <c r="D15" s="5">
        <f>C15 + SUMIF(billing_adjustments!E:E, B15, billing_adjustments!D:D)</f>
        <v>152000</v>
      </c>
      <c r="E15" s="5">
        <f>SUMIF(collections!E:E, B15, collections!C:C)</f>
        <v>100000</v>
      </c>
      <c r="F15" s="6">
        <f t="shared" ref="F15:F18" si="0">E15 / C15</f>
        <v>0.5494505494505495</v>
      </c>
      <c r="G15" s="4">
        <f t="shared" ref="G15:G18" si="1">C15 - D15</f>
        <v>30000</v>
      </c>
      <c r="H15" s="5">
        <f t="shared" ref="H15:H18" si="2">D15 - E15</f>
        <v>52000</v>
      </c>
      <c r="I15" s="6">
        <f t="shared" ref="I15:I18" si="3">(C15 - D15) / C15</f>
        <v>0.16483516483516483</v>
      </c>
      <c r="J15" s="6">
        <f t="shared" ref="J15:J18" si="4">(D15 - E15) / D15</f>
        <v>0.34210526315789475</v>
      </c>
      <c r="K15" s="4" t="str">
        <f t="shared" ref="K15:K18" si="5">IF(F15&gt;=0.85,"Healthy",
   IF(F15&gt;=0.7,"Moderate Risk","High Risk"))</f>
        <v>High Risk</v>
      </c>
      <c r="L15" s="16">
        <v>0.85</v>
      </c>
    </row>
    <row r="16" spans="1:12">
      <c r="A16" s="4" t="s">
        <v>25</v>
      </c>
      <c r="B16" s="5">
        <v>3</v>
      </c>
      <c r="C16" s="5">
        <f>SUMIF(time_entries!G:G, B16, time_entries!F:F)</f>
        <v>40000</v>
      </c>
      <c r="D16" s="5">
        <f>C16 + SUMIF(billing_adjustments!E:E, B16, billing_adjustments!D:D)</f>
        <v>45000</v>
      </c>
      <c r="E16" s="5">
        <f>SUMIF(collections!E:E, B16, collections!C:C)</f>
        <v>35000</v>
      </c>
      <c r="F16" s="6">
        <f t="shared" si="0"/>
        <v>0.875</v>
      </c>
      <c r="G16" s="4">
        <f t="shared" si="1"/>
        <v>-5000</v>
      </c>
      <c r="H16" s="5">
        <f t="shared" si="2"/>
        <v>10000</v>
      </c>
      <c r="I16" s="6">
        <f t="shared" si="3"/>
        <v>-0.125</v>
      </c>
      <c r="J16" s="6">
        <f t="shared" si="4"/>
        <v>0.22222222222222221</v>
      </c>
      <c r="K16" s="4" t="str">
        <f t="shared" si="5"/>
        <v>Healthy</v>
      </c>
      <c r="L16" s="16">
        <v>0.85</v>
      </c>
    </row>
    <row r="17" spans="1:12">
      <c r="A17" s="4" t="s">
        <v>27</v>
      </c>
      <c r="B17" s="5">
        <v>4</v>
      </c>
      <c r="C17" s="5">
        <f>SUMIF(time_entries!G:G, B17, time_entries!F:F)</f>
        <v>49500</v>
      </c>
      <c r="D17" s="5">
        <f>C17 + SUMIF(billing_adjustments!E:E, B17, billing_adjustments!D:D)</f>
        <v>34500</v>
      </c>
      <c r="E17" s="5">
        <f>SUMIF(collections!E:E, B17, collections!C:C)</f>
        <v>30000</v>
      </c>
      <c r="F17" s="6">
        <f t="shared" si="0"/>
        <v>0.60606060606060608</v>
      </c>
      <c r="G17" s="4">
        <f t="shared" si="1"/>
        <v>15000</v>
      </c>
      <c r="H17" s="5">
        <f t="shared" si="2"/>
        <v>4500</v>
      </c>
      <c r="I17" s="6">
        <f t="shared" si="3"/>
        <v>0.30303030303030304</v>
      </c>
      <c r="J17" s="6">
        <f t="shared" si="4"/>
        <v>0.13043478260869565</v>
      </c>
      <c r="K17" s="4" t="str">
        <f t="shared" si="5"/>
        <v>High Risk</v>
      </c>
      <c r="L17" s="16">
        <v>0.85</v>
      </c>
    </row>
    <row r="18" spans="1:12">
      <c r="A18" s="4" t="s">
        <v>28</v>
      </c>
      <c r="B18" s="5">
        <v>5</v>
      </c>
      <c r="C18" s="5">
        <f>SUMIF(time_entries!G:G, B18, time_entries!F:F)</f>
        <v>28500</v>
      </c>
      <c r="D18" s="5">
        <f>C18 + SUMIF(billing_adjustments!E:E, B18, billing_adjustments!D:D)</f>
        <v>28500</v>
      </c>
      <c r="E18" s="5">
        <f>SUMIF(collections!E:E, B18, collections!C:C)</f>
        <v>15000</v>
      </c>
      <c r="F18" s="6">
        <f t="shared" si="0"/>
        <v>0.52631578947368418</v>
      </c>
      <c r="G18" s="4">
        <f t="shared" si="1"/>
        <v>0</v>
      </c>
      <c r="H18" s="5">
        <f t="shared" si="2"/>
        <v>13500</v>
      </c>
      <c r="I18" s="6">
        <f t="shared" si="3"/>
        <v>0</v>
      </c>
      <c r="J18" s="6">
        <f t="shared" si="4"/>
        <v>0.47368421052631576</v>
      </c>
      <c r="K18" s="4" t="str">
        <f t="shared" si="5"/>
        <v>High Risk</v>
      </c>
      <c r="L18" s="16">
        <v>0.85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lawyers</vt:lpstr>
      <vt:lpstr>practice_areas</vt:lpstr>
      <vt:lpstr>clients</vt:lpstr>
      <vt:lpstr>matters</vt:lpstr>
      <vt:lpstr>time_entries</vt:lpstr>
      <vt:lpstr>billing_adjustments</vt:lpstr>
      <vt:lpstr>collections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2026-03-01T09:48:27Z</dcterms:created>
  <dcterms:modified xsi:type="dcterms:W3CDTF">2026-03-01T11:56:17Z</dcterms:modified>
</cp:coreProperties>
</file>